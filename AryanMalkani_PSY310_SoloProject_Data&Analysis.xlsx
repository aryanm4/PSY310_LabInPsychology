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lished condition" sheetId="1" r:id="rId4"/>
    <sheet state="visible" name="Analysis" sheetId="2" r:id="rId5"/>
    <sheet state="visible" name="Contacted contacted" sheetId="3" r:id="rId6"/>
  </sheets>
  <definedNames/>
  <calcPr/>
</workbook>
</file>

<file path=xl/sharedStrings.xml><?xml version="1.0" encoding="utf-8"?>
<sst xmlns="http://schemas.openxmlformats.org/spreadsheetml/2006/main" count="67" uniqueCount="20">
  <si>
    <t>Participant No.</t>
  </si>
  <si>
    <t>Age</t>
  </si>
  <si>
    <t>Gender</t>
  </si>
  <si>
    <t>Estimated speed</t>
  </si>
  <si>
    <t>Saw glass break</t>
  </si>
  <si>
    <t>Male</t>
  </si>
  <si>
    <t>Yes</t>
  </si>
  <si>
    <t>No</t>
  </si>
  <si>
    <t>Female</t>
  </si>
  <si>
    <t>Mean</t>
  </si>
  <si>
    <t>S.d.</t>
  </si>
  <si>
    <t>Speeds estimated in high intensity condition</t>
  </si>
  <si>
    <t>Speeds estimated in low intensity condition</t>
  </si>
  <si>
    <t>Condition</t>
  </si>
  <si>
    <t>Mean speed estimate (in km/h)</t>
  </si>
  <si>
    <t>Median</t>
  </si>
  <si>
    <t>Standard Deviation</t>
  </si>
  <si>
    <t>Contacted</t>
  </si>
  <si>
    <t>Demolished</t>
  </si>
  <si>
    <t xml:space="preserve">p-value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</si>
</sst>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6E6FA"/>
        <bgColor rgb="FFE6E6FA"/>
      </patternFill>
    </fill>
    <fill>
      <patternFill patternType="solid">
        <fgColor rgb="FFDC143C"/>
        <bgColor rgb="FFDC143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serif"/>
              </a:defRPr>
            </a:pPr>
            <a:r>
              <a:rPr b="1" sz="1600">
                <a:solidFill>
                  <a:srgbClr val="000000"/>
                </a:solidFill>
                <a:latin typeface="serif"/>
              </a:rPr>
              <a:t>Speeds estimated by participants (in km/h) in both conditions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Analysis!$B$1</c:f>
            </c:strRef>
          </c:tx>
          <c:spPr>
            <a:ln cmpd="sng">
              <a:solidFill>
                <a:srgbClr val="DC143C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DC143C">
                  <a:alpha val="100000"/>
                </a:srgbClr>
              </a:solidFill>
              <a:ln cmpd="sng">
                <a:solidFill>
                  <a:srgbClr val="DC143C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Analysis!$A$2:$A$7</c:f>
            </c:strRef>
          </c:cat>
          <c:val>
            <c:numRef>
              <c:f>Analysis!$B$2:$B$7</c:f>
              <c:numCache/>
            </c:numRef>
          </c:val>
          <c:smooth val="0"/>
        </c:ser>
        <c:ser>
          <c:idx val="1"/>
          <c:order val="1"/>
          <c:tx>
            <c:strRef>
              <c:f>Analysis!$C$1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Analysis!$A$2:$A$7</c:f>
            </c:strRef>
          </c:cat>
          <c:val>
            <c:numRef>
              <c:f>Analysis!$C$2:$C$7</c:f>
              <c:numCache/>
            </c:numRef>
          </c:val>
          <c:smooth val="0"/>
        </c:ser>
        <c:axId val="192425830"/>
        <c:axId val="260815213"/>
      </c:lineChart>
      <c:catAx>
        <c:axId val="192425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Participant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60815213"/>
      </c:catAx>
      <c:valAx>
        <c:axId val="260815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Estimated 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92425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10</xdr:row>
      <xdr:rowOff>28575</xdr:rowOff>
    </xdr:from>
    <xdr:ext cx="6686550" cy="4124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25"/>
    <col customWidth="1" min="5" max="5" width="14.0"/>
    <col customWidth="1" min="10" max="10" width="14.25"/>
    <col customWidth="1" min="11" max="1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>
        <v>18.0</v>
      </c>
      <c r="C2" s="3" t="s">
        <v>5</v>
      </c>
      <c r="D2" s="3">
        <v>80.0</v>
      </c>
      <c r="E2" s="3" t="s">
        <v>6</v>
      </c>
      <c r="F2" s="4"/>
      <c r="G2" s="3">
        <v>1.0</v>
      </c>
      <c r="H2" s="3">
        <v>19.0</v>
      </c>
      <c r="I2" s="3" t="s">
        <v>5</v>
      </c>
      <c r="J2" s="3">
        <v>60.0</v>
      </c>
      <c r="K2" s="3" t="s">
        <v>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>
        <v>2.0</v>
      </c>
      <c r="B3" s="3">
        <v>18.0</v>
      </c>
      <c r="C3" s="3" t="s">
        <v>8</v>
      </c>
      <c r="D3" s="3">
        <v>50.0</v>
      </c>
      <c r="E3" s="3" t="s">
        <v>7</v>
      </c>
      <c r="F3" s="4"/>
      <c r="G3" s="3">
        <v>2.0</v>
      </c>
      <c r="H3" s="3">
        <v>20.0</v>
      </c>
      <c r="I3" s="3" t="s">
        <v>8</v>
      </c>
      <c r="J3" s="3">
        <v>35.0</v>
      </c>
      <c r="K3" s="3" t="s">
        <v>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>
        <v>3.0</v>
      </c>
      <c r="B4" s="3">
        <v>22.0</v>
      </c>
      <c r="C4" s="3" t="s">
        <v>5</v>
      </c>
      <c r="D4" s="3">
        <v>60.0</v>
      </c>
      <c r="E4" s="3" t="s">
        <v>7</v>
      </c>
      <c r="F4" s="4"/>
      <c r="G4" s="3">
        <v>3.0</v>
      </c>
      <c r="H4" s="3">
        <v>19.0</v>
      </c>
      <c r="I4" s="3" t="s">
        <v>8</v>
      </c>
      <c r="J4" s="3">
        <v>40.0</v>
      </c>
      <c r="K4" s="3" t="s">
        <v>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>
        <v>4.0</v>
      </c>
      <c r="B5" s="3">
        <v>19.0</v>
      </c>
      <c r="C5" s="3" t="s">
        <v>8</v>
      </c>
      <c r="D5" s="3">
        <v>50.0</v>
      </c>
      <c r="E5" s="3" t="s">
        <v>7</v>
      </c>
      <c r="F5" s="4"/>
      <c r="G5" s="3">
        <v>4.0</v>
      </c>
      <c r="H5" s="3">
        <v>19.0</v>
      </c>
      <c r="I5" s="3" t="s">
        <v>8</v>
      </c>
      <c r="J5" s="3">
        <v>50.0</v>
      </c>
      <c r="K5" s="3" t="s">
        <v>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>
        <v>5.0</v>
      </c>
      <c r="B6" s="3">
        <v>17.0</v>
      </c>
      <c r="C6" s="3" t="s">
        <v>8</v>
      </c>
      <c r="D6" s="3">
        <v>60.0</v>
      </c>
      <c r="E6" s="3" t="s">
        <v>7</v>
      </c>
      <c r="F6" s="4"/>
      <c r="G6" s="3">
        <v>5.0</v>
      </c>
      <c r="H6" s="3">
        <v>21.0</v>
      </c>
      <c r="I6" s="3" t="s">
        <v>5</v>
      </c>
      <c r="J6" s="3">
        <v>40.0</v>
      </c>
      <c r="K6" s="3" t="s">
        <v>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>
        <v>6.0</v>
      </c>
      <c r="B7" s="3">
        <v>20.0</v>
      </c>
      <c r="C7" s="3" t="s">
        <v>5</v>
      </c>
      <c r="D7" s="3">
        <v>90.0</v>
      </c>
      <c r="E7" s="3" t="s">
        <v>7</v>
      </c>
      <c r="F7" s="4"/>
      <c r="G7" s="3">
        <v>6.0</v>
      </c>
      <c r="H7" s="3">
        <v>18.0</v>
      </c>
      <c r="I7" s="3" t="s">
        <v>5</v>
      </c>
      <c r="J7" s="3">
        <v>60.0</v>
      </c>
      <c r="K7" s="3" t="s">
        <v>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9</v>
      </c>
      <c r="B9" s="4">
        <f>AVERAGE(B2:B7)</f>
        <v>19</v>
      </c>
      <c r="C9" s="4"/>
      <c r="D9" s="4">
        <f>AVERAGE(D2:D7)</f>
        <v>65</v>
      </c>
      <c r="E9" s="4"/>
      <c r="F9" s="4"/>
      <c r="G9" s="3" t="s">
        <v>9</v>
      </c>
      <c r="H9" s="4">
        <f>AVERAGE(H2:H7)</f>
        <v>19.33333333</v>
      </c>
      <c r="I9" s="4"/>
      <c r="J9" s="4">
        <f>AVERAGE(J2:J7)</f>
        <v>47.5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10</v>
      </c>
      <c r="B10" s="4">
        <f>stdev(B2:B7)</f>
        <v>1.788854382</v>
      </c>
      <c r="C10" s="4"/>
      <c r="D10" s="4">
        <f>stdev(D2:D7)</f>
        <v>16.43167673</v>
      </c>
      <c r="E10" s="4"/>
      <c r="F10" s="4"/>
      <c r="G10" s="3" t="s">
        <v>10</v>
      </c>
      <c r="H10" s="4">
        <f>stdev(H2:H7)</f>
        <v>1.032795559</v>
      </c>
      <c r="I10" s="4"/>
      <c r="J10" s="4">
        <f>stdev(J2:J7)</f>
        <v>10.83974169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">
        <v>19.0</v>
      </c>
      <c r="B12" s="4"/>
      <c r="C12" s="4"/>
      <c r="D12" s="4">
        <f>ttest(D2:D7,J2:J7,2,2)</f>
        <v>0.05446612539</v>
      </c>
      <c r="E12" s="4"/>
      <c r="F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">
        <v>20.0</v>
      </c>
      <c r="B13" s="4"/>
      <c r="C13" s="4"/>
      <c r="D13" s="4"/>
      <c r="E13" s="4"/>
      <c r="F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">
        <v>19.0</v>
      </c>
      <c r="B14" s="4"/>
      <c r="C14" s="4"/>
      <c r="D14" s="4"/>
      <c r="E14" s="4"/>
      <c r="F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">
        <v>19.0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3">
        <v>21.0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3">
        <v>18.0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>
        <v>18.0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>
        <v>18.0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>
        <v>22.0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">
        <v>19.0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3">
        <v>17.0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3">
        <v>20.0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>
        <f>STDEV(A12:A23)</f>
        <v>1.403458931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36.38"/>
    <col customWidth="1" min="3" max="3" width="35.63"/>
    <col customWidth="1" min="5" max="5" width="18.63"/>
    <col customWidth="1" min="7" max="7" width="16.13"/>
  </cols>
  <sheetData>
    <row r="1">
      <c r="A1" s="5" t="s">
        <v>0</v>
      </c>
      <c r="B1" s="6" t="s">
        <v>11</v>
      </c>
      <c r="C1" s="6" t="s">
        <v>12</v>
      </c>
      <c r="D1" s="7" t="s">
        <v>13</v>
      </c>
      <c r="E1" s="8" t="s">
        <v>14</v>
      </c>
      <c r="F1" s="7" t="s">
        <v>15</v>
      </c>
      <c r="G1" s="7" t="s">
        <v>16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1.0</v>
      </c>
      <c r="B2" s="10">
        <v>50.0</v>
      </c>
      <c r="C2" s="10">
        <v>35.0</v>
      </c>
      <c r="D2" s="11" t="s">
        <v>17</v>
      </c>
      <c r="E2" s="12">
        <f>AVERAGE(C2:C7)</f>
        <v>47.5</v>
      </c>
      <c r="F2" s="12">
        <f>MEDIAN(C2:C7)</f>
        <v>45</v>
      </c>
      <c r="G2" s="12">
        <f>STDEV(C2:C7)</f>
        <v>10.83974169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>
        <v>2.0</v>
      </c>
      <c r="B3" s="10">
        <v>50.0</v>
      </c>
      <c r="C3" s="10">
        <v>40.0</v>
      </c>
      <c r="D3" s="13" t="s">
        <v>18</v>
      </c>
      <c r="E3" s="12">
        <f>AVERAGE(B2:B7)</f>
        <v>65</v>
      </c>
      <c r="F3" s="12">
        <f>MEDIAN(B2:B7)</f>
        <v>60</v>
      </c>
      <c r="G3" s="12">
        <f>stdev(B2:B7)</f>
        <v>16.43167673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>
        <v>3.0</v>
      </c>
      <c r="B4" s="10">
        <v>60.0</v>
      </c>
      <c r="C4" s="10">
        <v>40.0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>
        <v>4.0</v>
      </c>
      <c r="B5" s="10">
        <v>60.0</v>
      </c>
      <c r="C5" s="10">
        <v>50.0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>
        <v>5.0</v>
      </c>
      <c r="B6" s="10">
        <v>80.0</v>
      </c>
      <c r="C6" s="10">
        <v>60.0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>
        <v>6.0</v>
      </c>
      <c r="B7" s="10">
        <v>90.0</v>
      </c>
      <c r="C7" s="10">
        <v>60.0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19</v>
      </c>
      <c r="B9" s="12">
        <f>TTEST(B2:B7,C2:C7,1,2)</f>
        <v>0.0272330627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25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>
        <v>19.0</v>
      </c>
      <c r="C2" s="3" t="s">
        <v>5</v>
      </c>
      <c r="D2" s="3">
        <v>60.0</v>
      </c>
      <c r="E2" s="3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>
        <v>2.0</v>
      </c>
      <c r="B3" s="3">
        <v>20.0</v>
      </c>
      <c r="C3" s="3" t="s">
        <v>8</v>
      </c>
      <c r="D3" s="3">
        <v>35.0</v>
      </c>
      <c r="E3" s="3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>
        <v>3.0</v>
      </c>
      <c r="B4" s="3">
        <v>19.0</v>
      </c>
      <c r="C4" s="3" t="s">
        <v>8</v>
      </c>
      <c r="D4" s="3">
        <v>40.0</v>
      </c>
      <c r="E4" s="3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>
        <v>4.0</v>
      </c>
      <c r="B5" s="3">
        <v>19.0</v>
      </c>
      <c r="C5" s="3" t="s">
        <v>8</v>
      </c>
      <c r="D5" s="3">
        <v>50.0</v>
      </c>
      <c r="E5" s="3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>
        <v>5.0</v>
      </c>
      <c r="B6" s="3">
        <v>21.0</v>
      </c>
      <c r="C6" s="3" t="s">
        <v>5</v>
      </c>
      <c r="D6" s="3">
        <v>40.0</v>
      </c>
      <c r="E6" s="3" t="s">
        <v>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>
        <v>6.0</v>
      </c>
      <c r="B7" s="3">
        <v>18.0</v>
      </c>
      <c r="C7" s="3" t="s">
        <v>5</v>
      </c>
      <c r="D7" s="3">
        <v>60.0</v>
      </c>
      <c r="E7" s="3" t="s">
        <v>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9</v>
      </c>
      <c r="B9" s="4">
        <f>AVERAGE(B2:B7)</f>
        <v>19.33333333</v>
      </c>
      <c r="C9" s="4"/>
      <c r="D9" s="4">
        <f>AVERAGE(D2:D7)</f>
        <v>47.5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10</v>
      </c>
      <c r="B10" s="4">
        <f>stdev(B2:B7)</f>
        <v>1.032795559</v>
      </c>
      <c r="C10" s="4"/>
      <c r="D10" s="4">
        <f>stdev(D2:D7)</f>
        <v>10.83974169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</sheetData>
  <drawing r:id="rId1"/>
</worksheet>
</file>